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<sst xmlns="http://schemas.openxmlformats.org/spreadsheetml/2006/main" count="144" uniqueCount="78">
  <si>
    <t xml:space="preserve">Order ID</t>
  </si>
  <si>
    <t xml:space="preserve">Salesperson</t>
  </si>
  <si>
    <t xml:space="preserve">Region</t>
  </si>
  <si>
    <t xml:space="preserve">Product</t>
  </si>
  <si>
    <t xml:space="preserve">Category</t>
  </si>
  <si>
    <t xml:space="preserve">Date</t>
  </si>
  <si>
    <t xml:space="preserve">Qty</t>
  </si>
  <si>
    <t xml:space="preserve">Unit Price (₹)</t>
  </si>
  <si>
    <t xml:space="preserve">Discount (%)</t>
  </si>
  <si>
    <t xml:space="preserve">Revenue (₹)</t>
  </si>
  <si>
    <t xml:space="preserve">Profit (₹)</t>
  </si>
  <si>
    <t xml:space="preserve">ORD-001</t>
  </si>
  <si>
    <t xml:space="preserve">Rahul Sharma</t>
  </si>
  <si>
    <t xml:space="preserve">North</t>
  </si>
  <si>
    <t xml:space="preserve">Laptop Pro</t>
  </si>
  <si>
    <t xml:space="preserve">Electronics</t>
  </si>
  <si>
    <t xml:space="preserve">2024-01-05</t>
  </si>
  <si>
    <t xml:space="preserve">ORD-002</t>
  </si>
  <si>
    <t xml:space="preserve">Priya Singh</t>
  </si>
  <si>
    <t xml:space="preserve">South</t>
  </si>
  <si>
    <t xml:space="preserve">Office Chair</t>
  </si>
  <si>
    <t xml:space="preserve">Furniture</t>
  </si>
  <si>
    <t xml:space="preserve">2024-01-08</t>
  </si>
  <si>
    <t xml:space="preserve">ORD-003</t>
  </si>
  <si>
    <t xml:space="preserve">Amit Verma</t>
  </si>
  <si>
    <t xml:space="preserve">East</t>
  </si>
  <si>
    <t xml:space="preserve">Smartphone X</t>
  </si>
  <si>
    <t xml:space="preserve">2024-01-12</t>
  </si>
  <si>
    <t xml:space="preserve">ORD-004</t>
  </si>
  <si>
    <t xml:space="preserve">Sneha Patil</t>
  </si>
  <si>
    <t xml:space="preserve">West</t>
  </si>
  <si>
    <t xml:space="preserve">Desk Lamp</t>
  </si>
  <si>
    <t xml:space="preserve">2024-01-15</t>
  </si>
  <si>
    <t xml:space="preserve">ORD-005</t>
  </si>
  <si>
    <t xml:space="preserve">Tablet Air</t>
  </si>
  <si>
    <t xml:space="preserve">2024-02-02</t>
  </si>
  <si>
    <t xml:space="preserve">ORD-006</t>
  </si>
  <si>
    <t xml:space="preserve">Karan Mehta</t>
  </si>
  <si>
    <t xml:space="preserve">Wireless Mouse</t>
  </si>
  <si>
    <t xml:space="preserve">2024-02-10</t>
  </si>
  <si>
    <t xml:space="preserve">ORD-007</t>
  </si>
  <si>
    <t xml:space="preserve">Bookshelf</t>
  </si>
  <si>
    <t xml:space="preserve">2024-02-18</t>
  </si>
  <si>
    <t xml:space="preserve">ORD-008</t>
  </si>
  <si>
    <t xml:space="preserve">2024-02-22</t>
  </si>
  <si>
    <t xml:space="preserve">ORD-009</t>
  </si>
  <si>
    <t xml:space="preserve">Neha Joshi</t>
  </si>
  <si>
    <t xml:space="preserve">Printer</t>
  </si>
  <si>
    <t xml:space="preserve">2024-03-01</t>
  </si>
  <si>
    <t xml:space="preserve">ORD-010</t>
  </si>
  <si>
    <t xml:space="preserve">Monitor HD</t>
  </si>
  <si>
    <t xml:space="preserve">2024-03-08</t>
  </si>
  <si>
    <t xml:space="preserve">ORD-011</t>
  </si>
  <si>
    <t xml:space="preserve">2024-03-15</t>
  </si>
  <si>
    <t xml:space="preserve">ORD-012</t>
  </si>
  <si>
    <t xml:space="preserve">2024-03-20</t>
  </si>
  <si>
    <t xml:space="preserve">ORD-013</t>
  </si>
  <si>
    <t xml:space="preserve">2024-04-02</t>
  </si>
  <si>
    <t xml:space="preserve">ORD-014</t>
  </si>
  <si>
    <t xml:space="preserve">2024-04-10</t>
  </si>
  <si>
    <t xml:space="preserve">ORD-015</t>
  </si>
  <si>
    <t xml:space="preserve">2024-04-18</t>
  </si>
  <si>
    <t xml:space="preserve">ORD-016</t>
  </si>
  <si>
    <t xml:space="preserve">2024-05-05</t>
  </si>
  <si>
    <t xml:space="preserve">ORD-017</t>
  </si>
  <si>
    <t xml:space="preserve">2024-05-12</t>
  </si>
  <si>
    <t xml:space="preserve">ORD-018</t>
  </si>
  <si>
    <t xml:space="preserve">2024-05-20</t>
  </si>
  <si>
    <t xml:space="preserve">ORD-019</t>
  </si>
  <si>
    <t xml:space="preserve">2024-06-03</t>
  </si>
  <si>
    <t xml:space="preserve">ORD-020</t>
  </si>
  <si>
    <t xml:space="preserve">2024-06-15</t>
  </si>
  <si>
    <t xml:space="preserve">TOTAL</t>
  </si>
  <si>
    <t xml:space="preserve">Sales Summary - 2024</t>
  </si>
  <si>
    <t xml:space="preserve">Total Orders</t>
  </si>
  <si>
    <t xml:space="preserve">Total Revenue (₹)</t>
  </si>
  <si>
    <t xml:space="preserve">Total Profit (₹)</t>
  </si>
  <si>
    <t xml:space="preserve">Grand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</si>
</sst>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BDD7EE"/>
      </patternFill>
    </fill>
    <fill>
      <patternFill patternType="solid">
        <fgColor rgb="FFBDD7EE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n">
        <v>2</v>
      </c>
      <c r="H2" s="4" t="n">
        <v>55000</v>
      </c>
      <c r="I2" s="2" t="n">
        <v>5</v>
      </c>
      <c r="J2" s="5" t="n">
        <f aca="false">G2*H2*(1-I2/100)</f>
        <v>104500</v>
      </c>
      <c r="K2" s="5" t="n">
        <f aca="false">J2*0.2</f>
        <v>20900</v>
      </c>
    </row>
    <row r="3" customFormat="false" ht="15" hidden="false" customHeight="false" outlineLevel="0" collapsed="false">
      <c r="A3" s="6" t="s">
        <v>17</v>
      </c>
      <c r="B3" s="7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n">
        <v>5</v>
      </c>
      <c r="H3" s="8" t="n">
        <v>8500</v>
      </c>
      <c r="I3" s="6" t="n">
        <v>10</v>
      </c>
      <c r="J3" s="9" t="n">
        <f aca="false">G3*H3*(1-I3/100)</f>
        <v>38250</v>
      </c>
      <c r="K3" s="9" t="n">
        <f aca="false">J3*0.2</f>
        <v>7650</v>
      </c>
    </row>
    <row r="4" customFormat="false" ht="15" hidden="false" customHeight="false" outlineLevel="0" collapsed="false">
      <c r="A4" s="2" t="s">
        <v>23</v>
      </c>
      <c r="B4" s="3" t="s">
        <v>24</v>
      </c>
      <c r="C4" s="2" t="s">
        <v>25</v>
      </c>
      <c r="D4" s="2" t="s">
        <v>26</v>
      </c>
      <c r="E4" s="2" t="s">
        <v>15</v>
      </c>
      <c r="F4" s="2" t="s">
        <v>27</v>
      </c>
      <c r="G4" s="2" t="n">
        <v>10</v>
      </c>
      <c r="H4" s="4" t="n">
        <v>22000</v>
      </c>
      <c r="I4" s="2" t="n">
        <v>8</v>
      </c>
      <c r="J4" s="5" t="n">
        <f aca="false">G4*H4*(1-I4/100)</f>
        <v>202400</v>
      </c>
      <c r="K4" s="5" t="n">
        <f aca="false">J4*0.2</f>
        <v>40480</v>
      </c>
    </row>
    <row r="5" customFormat="false" ht="15" hidden="false" customHeight="false" outlineLevel="0" collapsed="false">
      <c r="A5" s="6" t="s">
        <v>28</v>
      </c>
      <c r="B5" s="7" t="s">
        <v>29</v>
      </c>
      <c r="C5" s="6" t="s">
        <v>30</v>
      </c>
      <c r="D5" s="6" t="s">
        <v>31</v>
      </c>
      <c r="E5" s="6" t="s">
        <v>21</v>
      </c>
      <c r="F5" s="6" t="s">
        <v>32</v>
      </c>
      <c r="G5" s="6" t="n">
        <v>8</v>
      </c>
      <c r="H5" s="8" t="n">
        <v>1200</v>
      </c>
      <c r="I5" s="6" t="n">
        <v>0</v>
      </c>
      <c r="J5" s="9" t="n">
        <f aca="false">G5*H5*(1-I5/100)</f>
        <v>9600</v>
      </c>
      <c r="K5" s="9" t="n">
        <f aca="false">J5*0.2</f>
        <v>1920</v>
      </c>
    </row>
    <row r="6" customFormat="false" ht="15" hidden="false" customHeight="false" outlineLevel="0" collapsed="false">
      <c r="A6" s="2" t="s">
        <v>33</v>
      </c>
      <c r="B6" s="3" t="s">
        <v>12</v>
      </c>
      <c r="C6" s="2" t="s">
        <v>13</v>
      </c>
      <c r="D6" s="2" t="s">
        <v>34</v>
      </c>
      <c r="E6" s="2" t="s">
        <v>15</v>
      </c>
      <c r="F6" s="2" t="s">
        <v>35</v>
      </c>
      <c r="G6" s="2" t="n">
        <v>3</v>
      </c>
      <c r="H6" s="4" t="n">
        <v>18000</v>
      </c>
      <c r="I6" s="2" t="n">
        <v>5</v>
      </c>
      <c r="J6" s="5" t="n">
        <f aca="false">G6*H6*(1-I6/100)</f>
        <v>51300</v>
      </c>
      <c r="K6" s="5" t="n">
        <f aca="false">J6*0.2</f>
        <v>10260</v>
      </c>
    </row>
    <row r="7" customFormat="false" ht="15" hidden="false" customHeight="false" outlineLevel="0" collapsed="false">
      <c r="A7" s="6" t="s">
        <v>36</v>
      </c>
      <c r="B7" s="7" t="s">
        <v>37</v>
      </c>
      <c r="C7" s="6" t="s">
        <v>19</v>
      </c>
      <c r="D7" s="6" t="s">
        <v>38</v>
      </c>
      <c r="E7" s="6" t="s">
        <v>15</v>
      </c>
      <c r="F7" s="6" t="s">
        <v>39</v>
      </c>
      <c r="G7" s="6" t="n">
        <v>15</v>
      </c>
      <c r="H7" s="8" t="n">
        <v>1500</v>
      </c>
      <c r="I7" s="6" t="n">
        <v>12</v>
      </c>
      <c r="J7" s="9" t="n">
        <f aca="false">G7*H7*(1-I7/100)</f>
        <v>19800</v>
      </c>
      <c r="K7" s="9" t="n">
        <f aca="false">J7*0.2</f>
        <v>3960</v>
      </c>
    </row>
    <row r="8" customFormat="false" ht="15" hidden="false" customHeight="false" outlineLevel="0" collapsed="false">
      <c r="A8" s="2" t="s">
        <v>40</v>
      </c>
      <c r="B8" s="3" t="s">
        <v>18</v>
      </c>
      <c r="C8" s="2" t="s">
        <v>19</v>
      </c>
      <c r="D8" s="2" t="s">
        <v>41</v>
      </c>
      <c r="E8" s="2" t="s">
        <v>21</v>
      </c>
      <c r="F8" s="2" t="s">
        <v>42</v>
      </c>
      <c r="G8" s="2" t="n">
        <v>2</v>
      </c>
      <c r="H8" s="4" t="n">
        <v>6000</v>
      </c>
      <c r="I8" s="2" t="n">
        <v>0</v>
      </c>
      <c r="J8" s="5" t="n">
        <f aca="false">G8*H8*(1-I8/100)</f>
        <v>12000</v>
      </c>
      <c r="K8" s="5" t="n">
        <f aca="false">J8*0.2</f>
        <v>2400</v>
      </c>
    </row>
    <row r="9" customFormat="false" ht="15" hidden="false" customHeight="false" outlineLevel="0" collapsed="false">
      <c r="A9" s="6" t="s">
        <v>43</v>
      </c>
      <c r="B9" s="7" t="s">
        <v>24</v>
      </c>
      <c r="C9" s="6" t="s">
        <v>25</v>
      </c>
      <c r="D9" s="6" t="s">
        <v>14</v>
      </c>
      <c r="E9" s="6" t="s">
        <v>15</v>
      </c>
      <c r="F9" s="6" t="s">
        <v>44</v>
      </c>
      <c r="G9" s="6" t="n">
        <v>1</v>
      </c>
      <c r="H9" s="8" t="n">
        <v>55000</v>
      </c>
      <c r="I9" s="6" t="n">
        <v>5</v>
      </c>
      <c r="J9" s="9" t="n">
        <f aca="false">G9*H9*(1-I9/100)</f>
        <v>52250</v>
      </c>
      <c r="K9" s="9" t="n">
        <f aca="false">J9*0.2</f>
        <v>10450</v>
      </c>
    </row>
    <row r="10" customFormat="false" ht="15" hidden="false" customHeight="false" outlineLevel="0" collapsed="false">
      <c r="A10" s="2" t="s">
        <v>45</v>
      </c>
      <c r="B10" s="3" t="s">
        <v>46</v>
      </c>
      <c r="C10" s="2" t="s">
        <v>30</v>
      </c>
      <c r="D10" s="2" t="s">
        <v>47</v>
      </c>
      <c r="E10" s="2" t="s">
        <v>15</v>
      </c>
      <c r="F10" s="2" t="s">
        <v>48</v>
      </c>
      <c r="G10" s="2" t="n">
        <v>4</v>
      </c>
      <c r="H10" s="4" t="n">
        <v>12000</v>
      </c>
      <c r="I10" s="2" t="n">
        <v>7</v>
      </c>
      <c r="J10" s="5" t="n">
        <f aca="false">G10*H10*(1-I10/100)</f>
        <v>44640</v>
      </c>
      <c r="K10" s="5" t="n">
        <f aca="false">J10*0.2</f>
        <v>8928</v>
      </c>
    </row>
    <row r="11" customFormat="false" ht="15" hidden="false" customHeight="false" outlineLevel="0" collapsed="false">
      <c r="A11" s="6" t="s">
        <v>49</v>
      </c>
      <c r="B11" s="7" t="s">
        <v>37</v>
      </c>
      <c r="C11" s="6" t="s">
        <v>19</v>
      </c>
      <c r="D11" s="6" t="s">
        <v>50</v>
      </c>
      <c r="E11" s="6" t="s">
        <v>15</v>
      </c>
      <c r="F11" s="6" t="s">
        <v>51</v>
      </c>
      <c r="G11" s="6" t="n">
        <v>6</v>
      </c>
      <c r="H11" s="8" t="n">
        <v>15000</v>
      </c>
      <c r="I11" s="6" t="n">
        <v>10</v>
      </c>
      <c r="J11" s="9" t="n">
        <f aca="false">G11*H11*(1-I11/100)</f>
        <v>81000</v>
      </c>
      <c r="K11" s="9" t="n">
        <f aca="false">J11*0.2</f>
        <v>16200</v>
      </c>
    </row>
    <row r="12" customFormat="false" ht="15" hidden="false" customHeight="false" outlineLevel="0" collapsed="false">
      <c r="A12" s="2" t="s">
        <v>52</v>
      </c>
      <c r="B12" s="3" t="s">
        <v>29</v>
      </c>
      <c r="C12" s="2" t="s">
        <v>30</v>
      </c>
      <c r="D12" s="2" t="s">
        <v>20</v>
      </c>
      <c r="E12" s="2" t="s">
        <v>21</v>
      </c>
      <c r="F12" s="2" t="s">
        <v>53</v>
      </c>
      <c r="G12" s="2" t="n">
        <v>3</v>
      </c>
      <c r="H12" s="4" t="n">
        <v>8500</v>
      </c>
      <c r="I12" s="2" t="n">
        <v>5</v>
      </c>
      <c r="J12" s="5" t="n">
        <f aca="false">G12*H12*(1-I12/100)</f>
        <v>24225</v>
      </c>
      <c r="K12" s="5" t="n">
        <f aca="false">J12*0.2</f>
        <v>4845</v>
      </c>
    </row>
    <row r="13" customFormat="false" ht="15" hidden="false" customHeight="false" outlineLevel="0" collapsed="false">
      <c r="A13" s="6" t="s">
        <v>54</v>
      </c>
      <c r="B13" s="7" t="s">
        <v>12</v>
      </c>
      <c r="C13" s="6" t="s">
        <v>13</v>
      </c>
      <c r="D13" s="6" t="s">
        <v>38</v>
      </c>
      <c r="E13" s="6" t="s">
        <v>15</v>
      </c>
      <c r="F13" s="6" t="s">
        <v>55</v>
      </c>
      <c r="G13" s="6" t="n">
        <v>20</v>
      </c>
      <c r="H13" s="8" t="n">
        <v>1500</v>
      </c>
      <c r="I13" s="6" t="n">
        <v>15</v>
      </c>
      <c r="J13" s="9" t="n">
        <f aca="false">G13*H13*(1-I13/100)</f>
        <v>25500</v>
      </c>
      <c r="K13" s="9" t="n">
        <f aca="false">J13*0.2</f>
        <v>5100</v>
      </c>
    </row>
    <row r="14" customFormat="false" ht="15" hidden="false" customHeight="false" outlineLevel="0" collapsed="false">
      <c r="A14" s="2" t="s">
        <v>56</v>
      </c>
      <c r="B14" s="3" t="s">
        <v>46</v>
      </c>
      <c r="C14" s="2" t="s">
        <v>30</v>
      </c>
      <c r="D14" s="2" t="s">
        <v>26</v>
      </c>
      <c r="E14" s="2" t="s">
        <v>15</v>
      </c>
      <c r="F14" s="2" t="s">
        <v>57</v>
      </c>
      <c r="G14" s="2" t="n">
        <v>5</v>
      </c>
      <c r="H14" s="4" t="n">
        <v>22000</v>
      </c>
      <c r="I14" s="2" t="n">
        <v>8</v>
      </c>
      <c r="J14" s="5" t="n">
        <f aca="false">G14*H14*(1-I14/100)</f>
        <v>101200</v>
      </c>
      <c r="K14" s="5" t="n">
        <f aca="false">J14*0.2</f>
        <v>20240</v>
      </c>
    </row>
    <row r="15" customFormat="false" ht="15" hidden="false" customHeight="false" outlineLevel="0" collapsed="false">
      <c r="A15" s="6" t="s">
        <v>58</v>
      </c>
      <c r="B15" s="7" t="s">
        <v>18</v>
      </c>
      <c r="C15" s="6" t="s">
        <v>19</v>
      </c>
      <c r="D15" s="6" t="s">
        <v>14</v>
      </c>
      <c r="E15" s="6" t="s">
        <v>15</v>
      </c>
      <c r="F15" s="6" t="s">
        <v>59</v>
      </c>
      <c r="G15" s="6" t="n">
        <v>2</v>
      </c>
      <c r="H15" s="8" t="n">
        <v>55000</v>
      </c>
      <c r="I15" s="6" t="n">
        <v>5</v>
      </c>
      <c r="J15" s="9" t="n">
        <f aca="false">G15*H15*(1-I15/100)</f>
        <v>104500</v>
      </c>
      <c r="K15" s="9" t="n">
        <f aca="false">J15*0.2</f>
        <v>20900</v>
      </c>
    </row>
    <row r="16" customFormat="false" ht="15" hidden="false" customHeight="false" outlineLevel="0" collapsed="false">
      <c r="A16" s="2" t="s">
        <v>60</v>
      </c>
      <c r="B16" s="3" t="s">
        <v>24</v>
      </c>
      <c r="C16" s="2" t="s">
        <v>25</v>
      </c>
      <c r="D16" s="2" t="s">
        <v>31</v>
      </c>
      <c r="E16" s="2" t="s">
        <v>21</v>
      </c>
      <c r="F16" s="2" t="s">
        <v>61</v>
      </c>
      <c r="G16" s="2" t="n">
        <v>12</v>
      </c>
      <c r="H16" s="4" t="n">
        <v>1200</v>
      </c>
      <c r="I16" s="2" t="n">
        <v>0</v>
      </c>
      <c r="J16" s="5" t="n">
        <f aca="false">G16*H16*(1-I16/100)</f>
        <v>14400</v>
      </c>
      <c r="K16" s="5" t="n">
        <f aca="false">J16*0.2</f>
        <v>2880</v>
      </c>
    </row>
    <row r="17" customFormat="false" ht="15" hidden="false" customHeight="false" outlineLevel="0" collapsed="false">
      <c r="A17" s="6" t="s">
        <v>62</v>
      </c>
      <c r="B17" s="7" t="s">
        <v>37</v>
      </c>
      <c r="C17" s="6" t="s">
        <v>19</v>
      </c>
      <c r="D17" s="6" t="s">
        <v>34</v>
      </c>
      <c r="E17" s="6" t="s">
        <v>15</v>
      </c>
      <c r="F17" s="6" t="s">
        <v>63</v>
      </c>
      <c r="G17" s="6" t="n">
        <v>4</v>
      </c>
      <c r="H17" s="8" t="n">
        <v>18000</v>
      </c>
      <c r="I17" s="6" t="n">
        <v>6</v>
      </c>
      <c r="J17" s="9" t="n">
        <f aca="false">G17*H17*(1-I17/100)</f>
        <v>67680</v>
      </c>
      <c r="K17" s="9" t="n">
        <f aca="false">J17*0.2</f>
        <v>13536</v>
      </c>
    </row>
    <row r="18" customFormat="false" ht="15" hidden="false" customHeight="false" outlineLevel="0" collapsed="false">
      <c r="A18" s="2" t="s">
        <v>64</v>
      </c>
      <c r="B18" s="3" t="s">
        <v>29</v>
      </c>
      <c r="C18" s="2" t="s">
        <v>30</v>
      </c>
      <c r="D18" s="2" t="s">
        <v>50</v>
      </c>
      <c r="E18" s="2" t="s">
        <v>15</v>
      </c>
      <c r="F18" s="2" t="s">
        <v>65</v>
      </c>
      <c r="G18" s="2" t="n">
        <v>3</v>
      </c>
      <c r="H18" s="4" t="n">
        <v>15000</v>
      </c>
      <c r="I18" s="2" t="n">
        <v>10</v>
      </c>
      <c r="J18" s="5" t="n">
        <f aca="false">G18*H18*(1-I18/100)</f>
        <v>40500</v>
      </c>
      <c r="K18" s="5" t="n">
        <f aca="false">J18*0.2</f>
        <v>8100</v>
      </c>
    </row>
    <row r="19" customFormat="false" ht="15" hidden="false" customHeight="false" outlineLevel="0" collapsed="false">
      <c r="A19" s="6" t="s">
        <v>66</v>
      </c>
      <c r="B19" s="7" t="s">
        <v>12</v>
      </c>
      <c r="C19" s="6" t="s">
        <v>13</v>
      </c>
      <c r="D19" s="6" t="s">
        <v>47</v>
      </c>
      <c r="E19" s="6" t="s">
        <v>15</v>
      </c>
      <c r="F19" s="6" t="s">
        <v>67</v>
      </c>
      <c r="G19" s="6" t="n">
        <v>2</v>
      </c>
      <c r="H19" s="8" t="n">
        <v>12000</v>
      </c>
      <c r="I19" s="6" t="n">
        <v>7</v>
      </c>
      <c r="J19" s="9" t="n">
        <f aca="false">G19*H19*(1-I19/100)</f>
        <v>22320</v>
      </c>
      <c r="K19" s="9" t="n">
        <f aca="false">J19*0.2</f>
        <v>4464</v>
      </c>
    </row>
    <row r="20" customFormat="false" ht="15" hidden="false" customHeight="false" outlineLevel="0" collapsed="false">
      <c r="A20" s="2" t="s">
        <v>68</v>
      </c>
      <c r="B20" s="3" t="s">
        <v>46</v>
      </c>
      <c r="C20" s="2" t="s">
        <v>30</v>
      </c>
      <c r="D20" s="2" t="s">
        <v>41</v>
      </c>
      <c r="E20" s="2" t="s">
        <v>21</v>
      </c>
      <c r="F20" s="2" t="s">
        <v>69</v>
      </c>
      <c r="G20" s="2" t="n">
        <v>5</v>
      </c>
      <c r="H20" s="4" t="n">
        <v>6000</v>
      </c>
      <c r="I20" s="2" t="n">
        <v>0</v>
      </c>
      <c r="J20" s="5" t="n">
        <f aca="false">G20*H20*(1-I20/100)</f>
        <v>30000</v>
      </c>
      <c r="K20" s="5" t="n">
        <f aca="false">J20*0.2</f>
        <v>6000</v>
      </c>
    </row>
    <row r="21" customFormat="false" ht="15" hidden="false" customHeight="false" outlineLevel="0" collapsed="false">
      <c r="A21" s="6" t="s">
        <v>70</v>
      </c>
      <c r="B21" s="7" t="s">
        <v>18</v>
      </c>
      <c r="C21" s="6" t="s">
        <v>19</v>
      </c>
      <c r="D21" s="6" t="s">
        <v>26</v>
      </c>
      <c r="E21" s="6" t="s">
        <v>15</v>
      </c>
      <c r="F21" s="6" t="s">
        <v>71</v>
      </c>
      <c r="G21" s="6" t="n">
        <v>8</v>
      </c>
      <c r="H21" s="8" t="n">
        <v>22000</v>
      </c>
      <c r="I21" s="6" t="n">
        <v>8</v>
      </c>
      <c r="J21" s="9" t="n">
        <f aca="false">G21*H21*(1-I21/100)</f>
        <v>161920</v>
      </c>
      <c r="K21" s="9" t="n">
        <f aca="false">J21*0.2</f>
        <v>32384</v>
      </c>
    </row>
    <row r="22" customFormat="false" ht="15" hidden="false" customHeight="false" outlineLevel="0" collapsed="false">
      <c r="A22" s="10" t="s">
        <v>72</v>
      </c>
      <c r="B22" s="10"/>
      <c r="C22" s="10"/>
      <c r="D22" s="10"/>
      <c r="E22" s="10"/>
      <c r="F22" s="10"/>
      <c r="G22" s="11" t="n">
        <f aca="false">SUM(G2:G21)</f>
        <v>120</v>
      </c>
      <c r="H22" s="10"/>
      <c r="I22" s="10"/>
      <c r="J22" s="11" t="n">
        <f aca="false">SUM(J2:J21)</f>
        <v>1207985</v>
      </c>
      <c r="K22" s="11" t="n">
        <f aca="false">SUM(K2:K21)</f>
        <v>241597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2" t="s">
        <v>73</v>
      </c>
      <c r="B1" s="12"/>
      <c r="C1" s="12"/>
      <c r="D1" s="12"/>
    </row>
    <row r="3" customFormat="false" ht="15" hidden="false" customHeight="false" outlineLevel="0" collapsed="false">
      <c r="A3" s="13" t="s">
        <v>1</v>
      </c>
      <c r="B3" s="13" t="s">
        <v>74</v>
      </c>
      <c r="C3" s="13" t="s">
        <v>75</v>
      </c>
      <c r="D3" s="13" t="s">
        <v>76</v>
      </c>
    </row>
    <row r="4" customFormat="false" ht="15" hidden="false" customHeight="false" outlineLevel="0" collapsed="false">
      <c r="A4" s="14" t="s">
        <v>12</v>
      </c>
      <c r="B4" s="15" t="n">
        <f aca="false">COUNTIF('Sales Data'!B:B,A4)</f>
        <v>4</v>
      </c>
      <c r="C4" s="5" t="n">
        <f aca="false">SUMIF('Sales Data'!B:B,A4,'Sales Data'!J:J)</f>
        <v>203620</v>
      </c>
      <c r="D4" s="5" t="n">
        <f aca="false">SUMIF('Sales Data'!B:B,A4,'Sales Data'!K:K)</f>
        <v>40724</v>
      </c>
    </row>
    <row r="5" customFormat="false" ht="15" hidden="false" customHeight="false" outlineLevel="0" collapsed="false">
      <c r="A5" s="16" t="s">
        <v>18</v>
      </c>
      <c r="B5" s="17" t="n">
        <f aca="false">COUNTIF('Sales Data'!B:B,A5)</f>
        <v>4</v>
      </c>
      <c r="C5" s="9" t="n">
        <f aca="false">SUMIF('Sales Data'!B:B,A5,'Sales Data'!J:J)</f>
        <v>316670</v>
      </c>
      <c r="D5" s="9" t="n">
        <f aca="false">SUMIF('Sales Data'!B:B,A5,'Sales Data'!K:K)</f>
        <v>63334</v>
      </c>
    </row>
    <row r="6" customFormat="false" ht="15" hidden="false" customHeight="false" outlineLevel="0" collapsed="false">
      <c r="A6" s="14" t="s">
        <v>24</v>
      </c>
      <c r="B6" s="15" t="n">
        <f aca="false">COUNTIF('Sales Data'!B:B,A6)</f>
        <v>3</v>
      </c>
      <c r="C6" s="5" t="n">
        <f aca="false">SUMIF('Sales Data'!B:B,A6,'Sales Data'!J:J)</f>
        <v>269050</v>
      </c>
      <c r="D6" s="5" t="n">
        <f aca="false">SUMIF('Sales Data'!B:B,A6,'Sales Data'!K:K)</f>
        <v>53810</v>
      </c>
    </row>
    <row r="7" customFormat="false" ht="15" hidden="false" customHeight="false" outlineLevel="0" collapsed="false">
      <c r="A7" s="16" t="s">
        <v>29</v>
      </c>
      <c r="B7" s="17" t="n">
        <f aca="false">COUNTIF('Sales Data'!B:B,A7)</f>
        <v>3</v>
      </c>
      <c r="C7" s="9" t="n">
        <f aca="false">SUMIF('Sales Data'!B:B,A7,'Sales Data'!J:J)</f>
        <v>74325</v>
      </c>
      <c r="D7" s="9" t="n">
        <f aca="false">SUMIF('Sales Data'!B:B,A7,'Sales Data'!K:K)</f>
        <v>14865</v>
      </c>
    </row>
    <row r="8" customFormat="false" ht="15" hidden="false" customHeight="false" outlineLevel="0" collapsed="false">
      <c r="A8" s="14" t="s">
        <v>37</v>
      </c>
      <c r="B8" s="15" t="n">
        <f aca="false">COUNTIF('Sales Data'!B:B,A8)</f>
        <v>3</v>
      </c>
      <c r="C8" s="5" t="n">
        <f aca="false">SUMIF('Sales Data'!B:B,A8,'Sales Data'!J:J)</f>
        <v>168480</v>
      </c>
      <c r="D8" s="5" t="n">
        <f aca="false">SUMIF('Sales Data'!B:B,A8,'Sales Data'!K:K)</f>
        <v>33696</v>
      </c>
    </row>
    <row r="9" customFormat="false" ht="15" hidden="false" customHeight="false" outlineLevel="0" collapsed="false">
      <c r="A9" s="16" t="s">
        <v>46</v>
      </c>
      <c r="B9" s="17" t="n">
        <f aca="false">COUNTIF('Sales Data'!B:B,A9)</f>
        <v>3</v>
      </c>
      <c r="C9" s="9" t="n">
        <f aca="false">SUMIF('Sales Data'!B:B,A9,'Sales Data'!J:J)</f>
        <v>175840</v>
      </c>
      <c r="D9" s="9" t="n">
        <f aca="false">SUMIF('Sales Data'!B:B,A9,'Sales Data'!K:K)</f>
        <v>35168</v>
      </c>
    </row>
    <row r="10" customFormat="false" ht="15" hidden="false" customHeight="false" outlineLevel="0" collapsed="false">
      <c r="A10" s="18" t="s">
        <v>77</v>
      </c>
      <c r="B10" s="11" t="n">
        <f aca="false">SUM(B4:B9)</f>
        <v>20</v>
      </c>
      <c r="C10" s="11" t="n">
        <f aca="false">SUM(C4:C9)</f>
        <v>1207985</v>
      </c>
      <c r="D10" s="11" t="n">
        <f aca="false">SUM(D4:D9)</f>
        <v>241597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2026-03-08T15:23:05Z</dcterms:created>
  <dc:creator>openpyxl</dc:creator>
  <dc:description/>
  <dc:language>en-US</dc:language>
  <cp:lastModifiedBy/>
  <dcterms:modified xsi:type="dcterms:W3CDTF">2026-03-08T15:23:05Z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